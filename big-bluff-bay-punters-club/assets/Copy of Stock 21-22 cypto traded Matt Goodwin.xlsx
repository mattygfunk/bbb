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simon/Desktop/"/>
    </mc:Choice>
  </mc:AlternateContent>
  <xr:revisionPtr revIDLastSave="0" documentId="8_{8ADA94DD-0820-9F4F-B428-54F02067E1D2}" xr6:coauthVersionLast="47" xr6:coauthVersionMax="47" xr10:uidLastSave="{00000000-0000-0000-0000-000000000000}"/>
  <bookViews>
    <workbookView xWindow="0" yWindow="500" windowWidth="35840" windowHeight="20200" xr2:uid="{308C817F-277A-DD4E-BFAE-19258B80534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7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2" i="1"/>
  <c r="K42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I28" i="1"/>
  <c r="H28" i="1"/>
  <c r="K28" i="1"/>
  <c r="I27" i="1"/>
  <c r="H27" i="1"/>
  <c r="K27" i="1"/>
  <c r="I24" i="1"/>
  <c r="H24" i="1"/>
  <c r="K24" i="1"/>
  <c r="I25" i="1"/>
  <c r="H25" i="1"/>
  <c r="K25" i="1"/>
  <c r="I26" i="1"/>
  <c r="H26" i="1"/>
  <c r="K26" i="1"/>
  <c r="I23" i="1"/>
  <c r="H23" i="1"/>
  <c r="K23" i="1"/>
  <c r="I7" i="1"/>
  <c r="H7" i="1"/>
  <c r="K7" i="1"/>
  <c r="I22" i="1"/>
  <c r="K22" i="1"/>
  <c r="I8" i="1"/>
  <c r="K8" i="1"/>
  <c r="I9" i="1"/>
  <c r="K9" i="1"/>
  <c r="I10" i="1"/>
  <c r="K10" i="1"/>
  <c r="I11" i="1"/>
  <c r="K11" i="1"/>
  <c r="I12" i="1"/>
  <c r="K12" i="1"/>
  <c r="I14" i="1"/>
  <c r="I13" i="1"/>
  <c r="K13" i="1"/>
  <c r="I16" i="1"/>
  <c r="K14" i="1"/>
  <c r="I17" i="1"/>
  <c r="I15" i="1"/>
  <c r="K15" i="1"/>
  <c r="K16" i="1"/>
  <c r="K17" i="1"/>
  <c r="I20" i="1"/>
  <c r="I18" i="1"/>
  <c r="K18" i="1"/>
  <c r="I21" i="1"/>
  <c r="I19" i="1"/>
  <c r="K19" i="1"/>
  <c r="K20" i="1"/>
  <c r="K21" i="1"/>
  <c r="I44" i="1"/>
  <c r="I43" i="1"/>
  <c r="K43" i="1"/>
  <c r="K44" i="1"/>
  <c r="I45" i="1"/>
  <c r="K45" i="1"/>
  <c r="H18" i="1"/>
  <c r="H19" i="1"/>
  <c r="H21" i="1"/>
  <c r="H20" i="1"/>
  <c r="H22" i="1"/>
  <c r="H43" i="1"/>
  <c r="I46" i="1"/>
  <c r="H44" i="1"/>
  <c r="H15" i="1"/>
  <c r="H8" i="1"/>
  <c r="H9" i="1"/>
  <c r="H10" i="1"/>
  <c r="H11" i="1"/>
  <c r="H12" i="1"/>
  <c r="H14" i="1"/>
  <c r="H16" i="1"/>
  <c r="H17" i="1"/>
  <c r="H13" i="1"/>
  <c r="H45" i="1"/>
  <c r="F64" i="1"/>
  <c r="G64" i="1"/>
  <c r="H64" i="1"/>
  <c r="I64" i="1"/>
  <c r="C64" i="1"/>
  <c r="D48" i="1"/>
  <c r="F48" i="1"/>
  <c r="G48" i="1"/>
  <c r="H48" i="1"/>
  <c r="I48" i="1"/>
  <c r="J48" i="1"/>
  <c r="C48" i="1"/>
  <c r="K60" i="1"/>
  <c r="K61" i="1"/>
  <c r="K63" i="1"/>
  <c r="K46" i="1"/>
  <c r="K48" i="1"/>
  <c r="K66" i="1"/>
</calcChain>
</file>

<file path=xl/sharedStrings.xml><?xml version="1.0" encoding="utf-8"?>
<sst xmlns="http://schemas.openxmlformats.org/spreadsheetml/2006/main" count="62" uniqueCount="15">
  <si>
    <t>Coin</t>
  </si>
  <si>
    <t>Amount</t>
  </si>
  <si>
    <t>Buy</t>
  </si>
  <si>
    <t>Sold</t>
  </si>
  <si>
    <t>Profit</t>
  </si>
  <si>
    <t>Fee</t>
  </si>
  <si>
    <t>BTC</t>
  </si>
  <si>
    <t>Date Bought</t>
  </si>
  <si>
    <t>Date Sold</t>
  </si>
  <si>
    <t>BOUGHT AND SOLD WITHIN 12 MONTHS</t>
  </si>
  <si>
    <t>TOTAL PROFIT</t>
  </si>
  <si>
    <t>2021-2022</t>
  </si>
  <si>
    <t>MATTHEW GOODWIN</t>
  </si>
  <si>
    <t>AMOUNT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</si>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</sst>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4"/>
      <color rgb="FF07080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2" fontId="1" fillId="0" borderId="0" xfId="0" applyNumberFormat="1" applyFont="1"/>
    <xf numFmtId="2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6B24-159B-A04A-8501-00AABB9A3A7E}">
  <dimension ref="A2:K66"/>
  <sheetViews>
    <sheetView tabSelected="1" topLeftCell="A19" zoomScale="150" zoomScaleNormal="150" workbookViewId="0">
      <selection activeCell="C41" sqref="C41"/>
    </sheetView>
  </sheetViews>
  <sheetFormatPr baseColWidth="10" defaultColWidth="11.1640625" defaultRowHeight="16" x14ac:dyDescent="0.2"/>
  <cols>
    <col min="2" max="2" width="15" customWidth="1"/>
    <col min="5" max="5" width="15.5" customWidth="1"/>
    <col min="8" max="8" width="17.33203125" customWidth="1"/>
  </cols>
  <sheetData>
    <row r="2" spans="1:11" x14ac:dyDescent="0.2">
      <c r="F2" t="s">
        <v>12</v>
      </c>
      <c r="H2" t="s">
        <v>11</v>
      </c>
    </row>
    <row r="6" spans="1:11" x14ac:dyDescent="0.2">
      <c r="A6" s="1" t="s">
        <v>0</v>
      </c>
      <c r="B6" s="1" t="s">
        <v>1</v>
      </c>
      <c r="C6" s="1" t="s">
        <v>2</v>
      </c>
      <c r="D6" s="1" t="s">
        <v>7</v>
      </c>
      <c r="E6" s="1" t="s">
        <v>13</v>
      </c>
      <c r="F6" s="1" t="s">
        <v>3</v>
      </c>
      <c r="G6" s="1" t="s">
        <v>8</v>
      </c>
      <c r="H6" s="1" t="s">
        <v>4</v>
      </c>
      <c r="I6" s="1" t="s">
        <v>5</v>
      </c>
      <c r="K6" s="1" t="s">
        <v>4</v>
      </c>
    </row>
    <row r="7" spans="1:11" x14ac:dyDescent="0.2">
      <c r="A7" s="1" t="s">
        <v>6</v>
      </c>
      <c r="B7" s="2">
        <v>1.2637280000000001E-2</v>
      </c>
      <c r="C7" s="2">
        <f>B7*405.01</f>
        <v>5.1182247728000005</v>
      </c>
      <c r="D7" s="4">
        <v>43265</v>
      </c>
      <c r="E7" s="2">
        <v>1.2637280000000001E-2</v>
      </c>
      <c r="F7" s="2">
        <v>796.01</v>
      </c>
      <c r="G7" s="4">
        <v>44417</v>
      </c>
      <c r="H7" s="10">
        <f>F7-C7-I7</f>
        <v>786.91172522720001</v>
      </c>
      <c r="I7" s="9">
        <f>$F7*0.5%</f>
        <v>3.9800499999999999</v>
      </c>
      <c r="K7">
        <f t="shared" ref="K7" si="0">+F7-I7-C7</f>
        <v>786.91172522720001</v>
      </c>
    </row>
    <row r="8" spans="1:11" x14ac:dyDescent="0.2">
      <c r="A8" s="1" t="s">
        <v>6</v>
      </c>
      <c r="B8">
        <v>6.2719999999999996E-5</v>
      </c>
      <c r="C8" s="2">
        <f t="shared" ref="C8:C42" si="1">B8*405.01</f>
        <v>2.5402227199999999E-2</v>
      </c>
      <c r="D8" s="8">
        <v>43265</v>
      </c>
      <c r="E8">
        <v>6.2719999999999996E-5</v>
      </c>
      <c r="F8">
        <v>3.95</v>
      </c>
      <c r="G8" s="4">
        <v>44417</v>
      </c>
      <c r="H8" s="10">
        <f>F8-C8-I8</f>
        <v>3.9048477728000002</v>
      </c>
      <c r="I8" s="9">
        <f>$F8*0.5%</f>
        <v>1.975E-2</v>
      </c>
      <c r="K8">
        <f t="shared" ref="K8:K46" si="2">+F8-I8-C8</f>
        <v>3.9048477728000002</v>
      </c>
    </row>
    <row r="9" spans="1:11" x14ac:dyDescent="0.2">
      <c r="A9" s="1" t="s">
        <v>6</v>
      </c>
      <c r="B9" s="2">
        <v>2.3E-3</v>
      </c>
      <c r="C9" s="2">
        <f t="shared" si="1"/>
        <v>0.93152299999999999</v>
      </c>
      <c r="D9" s="4">
        <v>43265</v>
      </c>
      <c r="E9" s="2">
        <v>2.3E-3</v>
      </c>
      <c r="F9" s="2">
        <v>144.87</v>
      </c>
      <c r="G9" s="4">
        <v>44417</v>
      </c>
      <c r="H9" s="10">
        <f>F9-C9-I9</f>
        <v>143.21412700000002</v>
      </c>
      <c r="I9" s="9">
        <f>$F9*0.5%</f>
        <v>0.72435000000000005</v>
      </c>
      <c r="K9">
        <f t="shared" si="2"/>
        <v>143.21412700000002</v>
      </c>
    </row>
    <row r="10" spans="1:11" x14ac:dyDescent="0.2">
      <c r="A10" s="1" t="s">
        <v>6</v>
      </c>
      <c r="B10">
        <v>1.439675E-2</v>
      </c>
      <c r="C10" s="2">
        <f t="shared" si="1"/>
        <v>5.8308277175000001</v>
      </c>
      <c r="D10" s="8">
        <v>43265</v>
      </c>
      <c r="E10">
        <v>1.439675E-2</v>
      </c>
      <c r="F10">
        <v>896.98</v>
      </c>
      <c r="G10" s="8">
        <v>44418</v>
      </c>
      <c r="H10" s="10">
        <f>F10-C10-I10</f>
        <v>886.66427228249995</v>
      </c>
      <c r="I10" s="9">
        <f>$F10*0.5%</f>
        <v>4.4849000000000006</v>
      </c>
      <c r="K10">
        <f t="shared" si="2"/>
        <v>886.66427228249995</v>
      </c>
    </row>
    <row r="11" spans="1:11" x14ac:dyDescent="0.2">
      <c r="A11" s="1" t="s">
        <v>6</v>
      </c>
      <c r="B11" s="2">
        <v>0.01</v>
      </c>
      <c r="C11" s="2">
        <f t="shared" si="1"/>
        <v>4.0500999999999996</v>
      </c>
      <c r="D11" s="4">
        <v>43265</v>
      </c>
      <c r="E11" s="2">
        <v>0.01</v>
      </c>
      <c r="F11" s="2">
        <v>626.4</v>
      </c>
      <c r="G11" s="4">
        <v>44418</v>
      </c>
      <c r="H11" s="10">
        <f>F11-C11-I11</f>
        <v>619.21789999999999</v>
      </c>
      <c r="I11" s="9">
        <f>$F11*0.5%</f>
        <v>3.1320000000000001</v>
      </c>
      <c r="K11">
        <f t="shared" si="2"/>
        <v>619.21789999999999</v>
      </c>
    </row>
    <row r="12" spans="1:11" x14ac:dyDescent="0.2">
      <c r="A12" s="1" t="s">
        <v>6</v>
      </c>
      <c r="B12">
        <v>0.01</v>
      </c>
      <c r="C12" s="2">
        <f t="shared" si="1"/>
        <v>4.0500999999999996</v>
      </c>
      <c r="D12" s="8">
        <v>43265</v>
      </c>
      <c r="E12">
        <v>0.01</v>
      </c>
      <c r="F12">
        <v>612.14</v>
      </c>
      <c r="G12" s="4">
        <v>44420</v>
      </c>
      <c r="H12" s="10">
        <f>F12-C12-I12</f>
        <v>605.02919999999995</v>
      </c>
      <c r="I12" s="9">
        <f>$F12*0.5%</f>
        <v>3.0607000000000002</v>
      </c>
      <c r="K12">
        <f t="shared" si="2"/>
        <v>605.02919999999995</v>
      </c>
    </row>
    <row r="13" spans="1:11" x14ac:dyDescent="0.2">
      <c r="A13" s="1" t="s">
        <v>6</v>
      </c>
      <c r="B13" s="2">
        <v>2E-3</v>
      </c>
      <c r="C13" s="2">
        <f t="shared" si="1"/>
        <v>0.81001999999999996</v>
      </c>
      <c r="D13" s="4">
        <v>43265</v>
      </c>
      <c r="E13" s="2">
        <v>2E-3</v>
      </c>
      <c r="F13" s="2">
        <v>127.19</v>
      </c>
      <c r="G13" s="4">
        <v>44648</v>
      </c>
      <c r="H13" s="10">
        <f>F13-C13-I13</f>
        <v>125.74403000000001</v>
      </c>
      <c r="I13" s="9">
        <f>$F13*0.5%</f>
        <v>0.63595000000000002</v>
      </c>
      <c r="K13">
        <f t="shared" si="2"/>
        <v>125.74403000000001</v>
      </c>
    </row>
    <row r="14" spans="1:11" x14ac:dyDescent="0.2">
      <c r="A14" s="1" t="s">
        <v>6</v>
      </c>
      <c r="B14">
        <v>8.9999999999999998E-4</v>
      </c>
      <c r="C14" s="2">
        <f t="shared" si="1"/>
        <v>0.36450899999999997</v>
      </c>
      <c r="D14" s="8">
        <v>43265</v>
      </c>
      <c r="E14">
        <v>8.9999999999999998E-4</v>
      </c>
      <c r="F14">
        <v>54.98</v>
      </c>
      <c r="G14" s="8">
        <v>44656</v>
      </c>
      <c r="H14" s="10">
        <f>F14-C14-I14</f>
        <v>54.340590999999996</v>
      </c>
      <c r="I14" s="9">
        <f>$F14*0.5%</f>
        <v>0.27489999999999998</v>
      </c>
      <c r="K14">
        <f t="shared" si="2"/>
        <v>54.340590999999996</v>
      </c>
    </row>
    <row r="15" spans="1:11" x14ac:dyDescent="0.2">
      <c r="A15" s="1" t="s">
        <v>6</v>
      </c>
      <c r="B15" s="2">
        <v>2.0999999999999999E-3</v>
      </c>
      <c r="C15" s="2">
        <f t="shared" si="1"/>
        <v>0.85052099999999997</v>
      </c>
      <c r="D15" s="4">
        <v>43265</v>
      </c>
      <c r="E15" s="2">
        <v>2.0999999999999999E-3</v>
      </c>
      <c r="F15" s="2">
        <v>128.28</v>
      </c>
      <c r="G15" s="4">
        <v>44656</v>
      </c>
      <c r="H15" s="10">
        <f>F15-C15-I15</f>
        <v>126.788079</v>
      </c>
      <c r="I15" s="9">
        <f>$F15*0.5%</f>
        <v>0.64139999999999997</v>
      </c>
      <c r="K15">
        <f t="shared" si="2"/>
        <v>126.788079</v>
      </c>
    </row>
    <row r="16" spans="1:11" x14ac:dyDescent="0.2">
      <c r="A16" s="1" t="s">
        <v>6</v>
      </c>
      <c r="B16" s="2">
        <v>1.14375E-3</v>
      </c>
      <c r="C16" s="2">
        <f t="shared" si="1"/>
        <v>0.4632301875</v>
      </c>
      <c r="D16" s="4">
        <v>43265</v>
      </c>
      <c r="E16" s="2">
        <v>1.14375E-3</v>
      </c>
      <c r="F16" s="2">
        <v>49.76</v>
      </c>
      <c r="G16" s="4">
        <v>44698</v>
      </c>
      <c r="H16" s="10">
        <f>F16-C16-I16</f>
        <v>49.047969812499993</v>
      </c>
      <c r="I16" s="9">
        <f>$F16*0.5%</f>
        <v>0.24879999999999999</v>
      </c>
      <c r="K16">
        <f t="shared" si="2"/>
        <v>49.047969812499993</v>
      </c>
    </row>
    <row r="17" spans="1:11" x14ac:dyDescent="0.2">
      <c r="A17" s="1" t="s">
        <v>6</v>
      </c>
      <c r="B17" s="2">
        <v>3.8562499999999999E-3</v>
      </c>
      <c r="C17" s="2">
        <f t="shared" si="1"/>
        <v>1.5618198125</v>
      </c>
      <c r="D17" s="4">
        <v>43265</v>
      </c>
      <c r="E17" s="2">
        <v>3.8562499999999999E-3</v>
      </c>
      <c r="F17" s="2">
        <v>167.77</v>
      </c>
      <c r="G17" s="4">
        <v>44698</v>
      </c>
      <c r="H17" s="10">
        <f>F17-C17-I17</f>
        <v>165.3693301875</v>
      </c>
      <c r="I17" s="9">
        <f>$F17*0.5%</f>
        <v>0.8388500000000001</v>
      </c>
      <c r="K17">
        <f t="shared" si="2"/>
        <v>165.3693301875</v>
      </c>
    </row>
    <row r="18" spans="1:11" x14ac:dyDescent="0.2">
      <c r="A18" s="1" t="s">
        <v>6</v>
      </c>
      <c r="B18" s="2">
        <v>5.0000000000000001E-3</v>
      </c>
      <c r="C18" s="2">
        <f t="shared" si="1"/>
        <v>2.0250499999999998</v>
      </c>
      <c r="D18" s="4">
        <v>43265</v>
      </c>
      <c r="E18" s="2">
        <v>5.0000000000000001E-3</v>
      </c>
      <c r="F18" s="2">
        <v>217.44</v>
      </c>
      <c r="G18" s="4">
        <v>44699</v>
      </c>
      <c r="H18" s="10">
        <f>F18-C18-I18</f>
        <v>214.32775000000001</v>
      </c>
      <c r="I18" s="9">
        <f>$F18*0.5%</f>
        <v>1.0871999999999999</v>
      </c>
      <c r="K18">
        <f t="shared" si="2"/>
        <v>214.32775000000001</v>
      </c>
    </row>
    <row r="19" spans="1:11" x14ac:dyDescent="0.2">
      <c r="A19" s="1" t="s">
        <v>6</v>
      </c>
      <c r="B19" s="2">
        <v>1E-3</v>
      </c>
      <c r="C19" s="2">
        <f t="shared" si="1"/>
        <v>0.40500999999999998</v>
      </c>
      <c r="D19" s="4">
        <v>43265</v>
      </c>
      <c r="E19" s="2">
        <v>1E-3</v>
      </c>
      <c r="F19" s="2">
        <v>42.09</v>
      </c>
      <c r="G19" s="4">
        <v>44700</v>
      </c>
      <c r="H19" s="10">
        <f>F19-C19-I19</f>
        <v>41.474540000000005</v>
      </c>
      <c r="I19" s="9">
        <f>$F19*0.5%</f>
        <v>0.21045000000000003</v>
      </c>
      <c r="K19">
        <f t="shared" si="2"/>
        <v>41.474540000000005</v>
      </c>
    </row>
    <row r="20" spans="1:11" x14ac:dyDescent="0.2">
      <c r="A20" s="1" t="s">
        <v>6</v>
      </c>
      <c r="B20" s="2">
        <v>1.5005549999999999E-2</v>
      </c>
      <c r="C20" s="2">
        <f t="shared" si="1"/>
        <v>6.0773978054999995</v>
      </c>
      <c r="D20" s="4">
        <v>43265</v>
      </c>
      <c r="E20" s="2">
        <v>1.5005549999999999E-2</v>
      </c>
      <c r="F20" s="2">
        <v>426.88</v>
      </c>
      <c r="G20" s="4">
        <v>44701</v>
      </c>
      <c r="H20" s="10">
        <f>F20-C20-I20</f>
        <v>418.66820219449994</v>
      </c>
      <c r="I20" s="9">
        <f>$F20*0.5%</f>
        <v>2.1343999999999999</v>
      </c>
      <c r="K20">
        <f t="shared" si="2"/>
        <v>418.66820219449994</v>
      </c>
    </row>
    <row r="21" spans="1:11" x14ac:dyDescent="0.2">
      <c r="A21" s="1" t="s">
        <v>6</v>
      </c>
      <c r="B21" s="2">
        <v>1E-3</v>
      </c>
      <c r="C21" s="2">
        <f t="shared" si="1"/>
        <v>0.40500999999999998</v>
      </c>
      <c r="D21" s="4">
        <v>43265</v>
      </c>
      <c r="E21" s="2">
        <v>1E-3</v>
      </c>
      <c r="F21" s="2">
        <v>41.52</v>
      </c>
      <c r="G21" s="4">
        <v>44702</v>
      </c>
      <c r="H21" s="10">
        <f>F21-C21-I21</f>
        <v>40.907390000000007</v>
      </c>
      <c r="I21" s="9">
        <f>$F21*0.5%</f>
        <v>0.20760000000000001</v>
      </c>
      <c r="K21">
        <f t="shared" si="2"/>
        <v>40.907390000000007</v>
      </c>
    </row>
    <row r="22" spans="1:11" x14ac:dyDescent="0.2">
      <c r="A22" s="1" t="s">
        <v>6</v>
      </c>
      <c r="B22" s="2">
        <v>2.4095E-4</v>
      </c>
      <c r="C22" s="2">
        <f t="shared" si="1"/>
        <v>9.7587159499999993E-2</v>
      </c>
      <c r="D22" s="4">
        <v>43265</v>
      </c>
      <c r="E22" s="2">
        <v>2.4095E-4</v>
      </c>
      <c r="F22" s="2">
        <v>9.9499999999999993</v>
      </c>
      <c r="G22" s="4">
        <v>44705</v>
      </c>
      <c r="H22" s="10">
        <f>F22-C22-I22</f>
        <v>9.8026628405</v>
      </c>
      <c r="I22" s="9">
        <f>$F22*0.5%</f>
        <v>4.9749999999999996E-2</v>
      </c>
      <c r="K22">
        <f t="shared" si="2"/>
        <v>9.8026628405</v>
      </c>
    </row>
    <row r="23" spans="1:11" x14ac:dyDescent="0.2">
      <c r="A23" s="1" t="s">
        <v>6</v>
      </c>
      <c r="B23" s="2">
        <v>1.2047E-4</v>
      </c>
      <c r="C23" s="2">
        <f t="shared" si="1"/>
        <v>4.8791554700000003E-2</v>
      </c>
      <c r="D23" s="4">
        <v>43265</v>
      </c>
      <c r="E23" s="2">
        <v>1.2047E-4</v>
      </c>
      <c r="F23" s="2">
        <v>4.97</v>
      </c>
      <c r="G23" s="4">
        <v>44705</v>
      </c>
      <c r="H23" s="10">
        <f>F23-C23-I23</f>
        <v>4.8963584452999998</v>
      </c>
      <c r="I23" s="9">
        <f>$F23*0.5%</f>
        <v>2.4850000000000001E-2</v>
      </c>
      <c r="K23">
        <f t="shared" si="2"/>
        <v>4.8963584452999998</v>
      </c>
    </row>
    <row r="24" spans="1:11" x14ac:dyDescent="0.2">
      <c r="A24" s="1" t="s">
        <v>6</v>
      </c>
      <c r="B24" s="2">
        <v>1.1385799999999999E-3</v>
      </c>
      <c r="C24" s="2">
        <f t="shared" si="1"/>
        <v>0.46113628579999993</v>
      </c>
      <c r="D24" s="4">
        <v>43265</v>
      </c>
      <c r="E24" s="2">
        <v>1.1385799999999999E-3</v>
      </c>
      <c r="F24" s="2">
        <v>47.01</v>
      </c>
      <c r="G24" s="4">
        <v>44705</v>
      </c>
      <c r="H24" s="10">
        <f t="shared" ref="H24:H42" si="3">F24-C24-I24</f>
        <v>46.313813714199995</v>
      </c>
      <c r="I24" s="9">
        <f t="shared" ref="I24:I41" si="4">$F24*0.5%</f>
        <v>0.23504999999999998</v>
      </c>
      <c r="K24">
        <f t="shared" ref="K24:K42" si="5">+F24-I24-C24</f>
        <v>46.313813714199995</v>
      </c>
    </row>
    <row r="25" spans="1:11" x14ac:dyDescent="0.2">
      <c r="A25" s="1" t="s">
        <v>6</v>
      </c>
      <c r="B25" s="2">
        <v>6.4068000000000003E-4</v>
      </c>
      <c r="C25" s="2">
        <f t="shared" si="1"/>
        <v>0.25948180679999999</v>
      </c>
      <c r="D25" s="4">
        <v>43265</v>
      </c>
      <c r="E25" s="2">
        <v>6.4068000000000003E-4</v>
      </c>
      <c r="F25" s="2">
        <v>26.44</v>
      </c>
      <c r="G25" s="4">
        <v>44705</v>
      </c>
      <c r="H25" s="10">
        <f t="shared" si="3"/>
        <v>26.0483181932</v>
      </c>
      <c r="I25" s="9">
        <f t="shared" si="4"/>
        <v>0.13220000000000001</v>
      </c>
      <c r="K25">
        <f t="shared" si="5"/>
        <v>26.0483181932</v>
      </c>
    </row>
    <row r="26" spans="1:11" ht="18" x14ac:dyDescent="0.2">
      <c r="A26" s="1" t="s">
        <v>6</v>
      </c>
      <c r="B26" s="11">
        <v>3.5932E-4</v>
      </c>
      <c r="C26" s="2">
        <f t="shared" si="1"/>
        <v>0.14552819319999999</v>
      </c>
      <c r="D26" s="4">
        <v>43265</v>
      </c>
      <c r="E26" s="11">
        <v>3.5932E-4</v>
      </c>
      <c r="F26" s="2">
        <v>14.83</v>
      </c>
      <c r="G26" s="4">
        <v>44705</v>
      </c>
      <c r="H26" s="10">
        <f t="shared" si="3"/>
        <v>14.6103218068</v>
      </c>
      <c r="I26" s="9">
        <f t="shared" si="4"/>
        <v>7.4150000000000008E-2</v>
      </c>
      <c r="K26">
        <f t="shared" si="5"/>
        <v>14.6103218068</v>
      </c>
    </row>
    <row r="27" spans="1:11" x14ac:dyDescent="0.2">
      <c r="A27" s="1" t="s">
        <v>6</v>
      </c>
      <c r="B27">
        <v>2.7155000000000001E-4</v>
      </c>
      <c r="C27" s="2">
        <f t="shared" si="1"/>
        <v>0.1099804655</v>
      </c>
      <c r="D27" s="4">
        <v>43265</v>
      </c>
      <c r="E27">
        <v>2.7155000000000001E-4</v>
      </c>
      <c r="F27" s="2">
        <v>11.94</v>
      </c>
      <c r="G27" s="4">
        <v>44713</v>
      </c>
      <c r="H27" s="10">
        <f t="shared" si="3"/>
        <v>11.7703195345</v>
      </c>
      <c r="I27" s="9">
        <f t="shared" si="4"/>
        <v>5.9699999999999996E-2</v>
      </c>
      <c r="K27">
        <f t="shared" si="5"/>
        <v>11.7703195345</v>
      </c>
    </row>
    <row r="28" spans="1:11" x14ac:dyDescent="0.2">
      <c r="A28" s="1" t="s">
        <v>6</v>
      </c>
      <c r="B28">
        <v>7.2844999999999995E-4</v>
      </c>
      <c r="C28" s="2">
        <f t="shared" si="1"/>
        <v>0.29502953449999997</v>
      </c>
      <c r="D28" s="4">
        <v>43265</v>
      </c>
      <c r="E28">
        <v>7.2844999999999995E-4</v>
      </c>
      <c r="F28" s="2">
        <v>32.020000000000003</v>
      </c>
      <c r="G28" s="4">
        <v>44713</v>
      </c>
      <c r="H28" s="10">
        <f t="shared" si="3"/>
        <v>31.564870465500004</v>
      </c>
      <c r="I28" s="9">
        <f t="shared" si="4"/>
        <v>0.16010000000000002</v>
      </c>
      <c r="K28">
        <f t="shared" si="5"/>
        <v>31.564870465500004</v>
      </c>
    </row>
    <row r="29" spans="1:11" x14ac:dyDescent="0.2">
      <c r="A29" s="1" t="s">
        <v>6</v>
      </c>
      <c r="B29">
        <v>1E-3</v>
      </c>
      <c r="C29" s="2">
        <f t="shared" si="1"/>
        <v>0.40500999999999998</v>
      </c>
      <c r="D29" s="4">
        <v>43265</v>
      </c>
      <c r="E29">
        <v>1E-3</v>
      </c>
      <c r="F29" s="2">
        <v>41.54</v>
      </c>
      <c r="G29" s="4">
        <v>44714</v>
      </c>
      <c r="H29" s="10">
        <f t="shared" si="3"/>
        <v>40.927289999999999</v>
      </c>
      <c r="I29" s="9">
        <f t="shared" si="4"/>
        <v>0.2077</v>
      </c>
      <c r="K29">
        <f t="shared" si="5"/>
        <v>40.927289999999999</v>
      </c>
    </row>
    <row r="30" spans="1:11" x14ac:dyDescent="0.2">
      <c r="A30" s="1" t="s">
        <v>6</v>
      </c>
      <c r="B30">
        <v>3.6050999999999998E-4</v>
      </c>
      <c r="C30" s="2">
        <f t="shared" si="1"/>
        <v>0.14601015509999998</v>
      </c>
      <c r="D30" s="4">
        <v>43265</v>
      </c>
      <c r="E30">
        <v>3.6050999999999998E-4</v>
      </c>
      <c r="F30" s="2">
        <v>14.92</v>
      </c>
      <c r="G30" s="4">
        <v>44716</v>
      </c>
      <c r="H30" s="10">
        <f t="shared" si="3"/>
        <v>14.699389844899999</v>
      </c>
      <c r="I30" s="9">
        <f t="shared" si="4"/>
        <v>7.46E-2</v>
      </c>
      <c r="K30">
        <f t="shared" si="5"/>
        <v>14.699389844899999</v>
      </c>
    </row>
    <row r="31" spans="1:11" x14ac:dyDescent="0.2">
      <c r="A31" s="1" t="s">
        <v>6</v>
      </c>
      <c r="B31">
        <v>6.3949000000000005E-4</v>
      </c>
      <c r="C31" s="2">
        <f t="shared" si="1"/>
        <v>0.2589998449</v>
      </c>
      <c r="D31" s="4">
        <v>43265</v>
      </c>
      <c r="E31">
        <v>6.3949000000000005E-4</v>
      </c>
      <c r="F31" s="2">
        <v>26.47</v>
      </c>
      <c r="G31" s="4">
        <v>44716</v>
      </c>
      <c r="H31" s="10">
        <f t="shared" si="3"/>
        <v>26.0786501551</v>
      </c>
      <c r="I31" s="9">
        <f t="shared" si="4"/>
        <v>0.13235</v>
      </c>
      <c r="K31">
        <f t="shared" si="5"/>
        <v>26.0786501551</v>
      </c>
    </row>
    <row r="32" spans="1:11" x14ac:dyDescent="0.2">
      <c r="A32" s="1" t="s">
        <v>6</v>
      </c>
      <c r="B32">
        <v>1E-3</v>
      </c>
      <c r="C32" s="2">
        <f t="shared" si="1"/>
        <v>0.40500999999999998</v>
      </c>
      <c r="D32" s="4">
        <v>43265</v>
      </c>
      <c r="E32">
        <v>1E-3</v>
      </c>
      <c r="F32" s="2">
        <v>38.78</v>
      </c>
      <c r="G32" s="4">
        <v>44724</v>
      </c>
      <c r="H32" s="10">
        <f t="shared" si="3"/>
        <v>38.181090000000005</v>
      </c>
      <c r="I32" s="9">
        <f t="shared" si="4"/>
        <v>0.19390000000000002</v>
      </c>
      <c r="K32">
        <f t="shared" si="5"/>
        <v>38.181090000000005</v>
      </c>
    </row>
    <row r="33" spans="1:11" x14ac:dyDescent="0.2">
      <c r="A33" s="1" t="s">
        <v>6</v>
      </c>
      <c r="B33">
        <v>1E-3</v>
      </c>
      <c r="C33" s="2">
        <f t="shared" si="1"/>
        <v>0.40500999999999998</v>
      </c>
      <c r="D33" s="4">
        <v>43265</v>
      </c>
      <c r="E33">
        <v>1E-3</v>
      </c>
      <c r="F33" s="2">
        <v>34.17</v>
      </c>
      <c r="G33" s="4">
        <v>44725</v>
      </c>
      <c r="H33" s="10">
        <f t="shared" si="3"/>
        <v>33.594140000000003</v>
      </c>
      <c r="I33" s="9">
        <f t="shared" si="4"/>
        <v>0.17085</v>
      </c>
      <c r="K33">
        <f t="shared" si="5"/>
        <v>33.594140000000003</v>
      </c>
    </row>
    <row r="34" spans="1:11" x14ac:dyDescent="0.2">
      <c r="A34" s="1" t="s">
        <v>6</v>
      </c>
      <c r="B34">
        <v>1E-3</v>
      </c>
      <c r="C34" s="2">
        <f t="shared" si="1"/>
        <v>0.40500999999999998</v>
      </c>
      <c r="D34" s="4">
        <v>43265</v>
      </c>
      <c r="E34">
        <v>1E-3</v>
      </c>
      <c r="F34" s="2">
        <v>32.659999999999997</v>
      </c>
      <c r="G34" s="4">
        <v>44726</v>
      </c>
      <c r="H34" s="10">
        <f t="shared" si="3"/>
        <v>32.09169</v>
      </c>
      <c r="I34" s="9">
        <f t="shared" si="4"/>
        <v>0.16329999999999997</v>
      </c>
      <c r="K34">
        <f t="shared" si="5"/>
        <v>32.09169</v>
      </c>
    </row>
    <row r="35" spans="1:11" x14ac:dyDescent="0.2">
      <c r="A35" s="1" t="s">
        <v>6</v>
      </c>
      <c r="B35">
        <v>7.0000000000000001E-3</v>
      </c>
      <c r="C35" s="2">
        <f t="shared" si="1"/>
        <v>2.83507</v>
      </c>
      <c r="D35" s="4">
        <v>43265</v>
      </c>
      <c r="E35">
        <v>7.0000000000000001E-3</v>
      </c>
      <c r="F35" s="2">
        <v>224.72</v>
      </c>
      <c r="G35" s="4">
        <v>44727</v>
      </c>
      <c r="H35" s="10">
        <f t="shared" si="3"/>
        <v>220.76132999999999</v>
      </c>
      <c r="I35" s="9">
        <f t="shared" si="4"/>
        <v>1.1235999999999999</v>
      </c>
      <c r="K35">
        <f t="shared" si="5"/>
        <v>220.76132999999999</v>
      </c>
    </row>
    <row r="36" spans="1:11" x14ac:dyDescent="0.2">
      <c r="A36" s="1" t="s">
        <v>6</v>
      </c>
      <c r="B36">
        <v>1E-3</v>
      </c>
      <c r="C36" s="2">
        <f t="shared" si="1"/>
        <v>0.40500999999999998</v>
      </c>
      <c r="D36" s="4">
        <v>43265</v>
      </c>
      <c r="E36">
        <v>1E-3</v>
      </c>
      <c r="F36" s="2">
        <v>30.2</v>
      </c>
      <c r="G36" s="4">
        <v>44728</v>
      </c>
      <c r="H36" s="10">
        <f t="shared" si="3"/>
        <v>29.643989999999999</v>
      </c>
      <c r="I36" s="9">
        <f t="shared" si="4"/>
        <v>0.151</v>
      </c>
      <c r="K36">
        <f t="shared" si="5"/>
        <v>29.643989999999999</v>
      </c>
    </row>
    <row r="37" spans="1:11" x14ac:dyDescent="0.2">
      <c r="A37" s="1" t="s">
        <v>6</v>
      </c>
      <c r="B37">
        <v>1E-3</v>
      </c>
      <c r="C37" s="2">
        <f t="shared" si="1"/>
        <v>0.40500999999999998</v>
      </c>
      <c r="D37" s="4">
        <v>43265</v>
      </c>
      <c r="E37">
        <v>1E-3</v>
      </c>
      <c r="F37" s="2">
        <v>30.01</v>
      </c>
      <c r="G37" s="4">
        <v>44729</v>
      </c>
      <c r="H37" s="10">
        <f t="shared" si="3"/>
        <v>29.454940000000001</v>
      </c>
      <c r="I37" s="9">
        <f t="shared" si="4"/>
        <v>0.15005000000000002</v>
      </c>
      <c r="K37">
        <f t="shared" si="5"/>
        <v>29.454940000000001</v>
      </c>
    </row>
    <row r="38" spans="1:11" x14ac:dyDescent="0.2">
      <c r="A38" s="1" t="s">
        <v>6</v>
      </c>
      <c r="B38">
        <v>1E-3</v>
      </c>
      <c r="C38" s="2">
        <f t="shared" si="1"/>
        <v>0.40500999999999998</v>
      </c>
      <c r="D38" s="4">
        <v>43265</v>
      </c>
      <c r="E38">
        <v>1E-3</v>
      </c>
      <c r="F38" s="2">
        <v>29.65</v>
      </c>
      <c r="G38" s="4">
        <v>44729</v>
      </c>
      <c r="H38" s="10">
        <f t="shared" si="3"/>
        <v>29.096739999999997</v>
      </c>
      <c r="I38" s="9">
        <f t="shared" si="4"/>
        <v>0.14824999999999999</v>
      </c>
      <c r="K38">
        <f t="shared" si="5"/>
        <v>29.096739999999997</v>
      </c>
    </row>
    <row r="39" spans="1:11" x14ac:dyDescent="0.2">
      <c r="A39" s="1" t="s">
        <v>6</v>
      </c>
      <c r="B39">
        <v>1E-3</v>
      </c>
      <c r="C39" s="2">
        <f t="shared" si="1"/>
        <v>0.40500999999999998</v>
      </c>
      <c r="D39" s="4">
        <v>43265</v>
      </c>
      <c r="E39">
        <v>1E-3</v>
      </c>
      <c r="F39" s="2">
        <v>27.9</v>
      </c>
      <c r="G39" s="4">
        <v>44730</v>
      </c>
      <c r="H39" s="10">
        <f t="shared" si="3"/>
        <v>27.355489999999996</v>
      </c>
      <c r="I39" s="9">
        <f t="shared" si="4"/>
        <v>0.13949999999999999</v>
      </c>
      <c r="K39">
        <f t="shared" si="5"/>
        <v>27.355489999999996</v>
      </c>
    </row>
    <row r="40" spans="1:11" x14ac:dyDescent="0.2">
      <c r="A40" s="1" t="s">
        <v>6</v>
      </c>
      <c r="B40">
        <v>3.0000000000000001E-3</v>
      </c>
      <c r="C40" s="2">
        <f t="shared" si="1"/>
        <v>1.2150300000000001</v>
      </c>
      <c r="D40" s="4">
        <v>43265</v>
      </c>
      <c r="E40">
        <v>3.0000000000000001E-3</v>
      </c>
      <c r="F40" s="2">
        <v>88.53</v>
      </c>
      <c r="G40" s="4">
        <v>44731</v>
      </c>
      <c r="H40" s="10">
        <f t="shared" si="3"/>
        <v>86.872320000000002</v>
      </c>
      <c r="I40" s="9">
        <f t="shared" si="4"/>
        <v>0.44264999999999999</v>
      </c>
      <c r="K40">
        <f t="shared" si="5"/>
        <v>86.872320000000002</v>
      </c>
    </row>
    <row r="41" spans="1:11" x14ac:dyDescent="0.2">
      <c r="A41" s="1" t="s">
        <v>6</v>
      </c>
      <c r="B41">
        <v>1.5005549999999999E-2</v>
      </c>
      <c r="C41" s="2">
        <f t="shared" si="1"/>
        <v>6.0773978054999995</v>
      </c>
      <c r="D41" s="4">
        <v>43265</v>
      </c>
      <c r="E41">
        <v>1.5005549999999999E-2</v>
      </c>
      <c r="F41" s="2">
        <v>426.88</v>
      </c>
      <c r="G41" s="4">
        <v>44732</v>
      </c>
      <c r="H41" s="10">
        <f t="shared" si="3"/>
        <v>418.66820219449994</v>
      </c>
      <c r="I41" s="9">
        <f t="shared" si="4"/>
        <v>2.1343999999999999</v>
      </c>
      <c r="K41">
        <f t="shared" si="5"/>
        <v>418.66820219449994</v>
      </c>
    </row>
    <row r="42" spans="1:11" x14ac:dyDescent="0.2">
      <c r="A42" s="1" t="s">
        <v>6</v>
      </c>
      <c r="B42">
        <v>1.1368999999999999E-3</v>
      </c>
      <c r="C42" s="2">
        <f t="shared" si="1"/>
        <v>0.46045586899999996</v>
      </c>
      <c r="D42" s="4">
        <v>37421</v>
      </c>
      <c r="E42">
        <v>1.1368999999999999E-3</v>
      </c>
      <c r="F42" s="2">
        <v>35.119999999999997</v>
      </c>
      <c r="G42" s="4">
        <v>44739</v>
      </c>
      <c r="H42" s="10">
        <f t="shared" si="3"/>
        <v>34.483944130999994</v>
      </c>
      <c r="I42" s="9">
        <f>$F42*0.5%</f>
        <v>0.17559999999999998</v>
      </c>
      <c r="K42">
        <f t="shared" si="5"/>
        <v>34.483944130999994</v>
      </c>
    </row>
    <row r="43" spans="1:11" x14ac:dyDescent="0.2">
      <c r="A43" s="1" t="s">
        <v>14</v>
      </c>
      <c r="B43">
        <v>0.1</v>
      </c>
      <c r="C43" s="2">
        <v>50.746000000000002</v>
      </c>
      <c r="D43" s="4">
        <v>42978</v>
      </c>
      <c r="E43">
        <v>0.1</v>
      </c>
      <c r="F43" s="10">
        <v>177.7</v>
      </c>
      <c r="G43" s="4">
        <v>44739</v>
      </c>
      <c r="H43" s="10">
        <f>F43-C43-I43</f>
        <v>126.06549999999999</v>
      </c>
      <c r="I43" s="9">
        <f>$F43*0.5%</f>
        <v>0.88849999999999996</v>
      </c>
      <c r="K43">
        <f t="shared" si="2"/>
        <v>126.06549999999999</v>
      </c>
    </row>
    <row r="44" spans="1:11" x14ac:dyDescent="0.2">
      <c r="A44" s="1" t="s">
        <v>14</v>
      </c>
      <c r="B44">
        <v>0.01</v>
      </c>
      <c r="C44" s="2">
        <v>5.07</v>
      </c>
      <c r="D44" s="4">
        <v>42978</v>
      </c>
      <c r="E44">
        <v>0.01</v>
      </c>
      <c r="F44" s="2">
        <v>15.67</v>
      </c>
      <c r="G44" s="4">
        <v>44742</v>
      </c>
      <c r="H44" s="10">
        <f>F44-C44-I44</f>
        <v>10.521649999999999</v>
      </c>
      <c r="I44" s="9">
        <f>$F44*0.5%</f>
        <v>7.8350000000000003E-2</v>
      </c>
      <c r="K44">
        <f t="shared" si="2"/>
        <v>10.521649999999999</v>
      </c>
    </row>
    <row r="45" spans="1:11" x14ac:dyDescent="0.2">
      <c r="A45" s="1" t="s">
        <v>14</v>
      </c>
      <c r="B45">
        <v>0.02</v>
      </c>
      <c r="C45" s="2">
        <v>10.14</v>
      </c>
      <c r="D45" s="4">
        <v>42978</v>
      </c>
      <c r="E45">
        <v>0.02</v>
      </c>
      <c r="F45" s="2">
        <v>29.72</v>
      </c>
      <c r="G45" s="4">
        <v>44742</v>
      </c>
      <c r="H45" s="10">
        <f>F45-C45-I45</f>
        <v>19.4314</v>
      </c>
      <c r="I45" s="9">
        <f>$F45*0.5%</f>
        <v>0.14860000000000001</v>
      </c>
      <c r="K45">
        <f t="shared" si="2"/>
        <v>19.4314</v>
      </c>
    </row>
    <row r="46" spans="1:11" x14ac:dyDescent="0.2">
      <c r="A46" s="1"/>
      <c r="B46" s="2"/>
      <c r="C46" s="2"/>
      <c r="D46" s="4"/>
      <c r="E46" s="2"/>
      <c r="F46" s="2"/>
      <c r="G46" s="4"/>
      <c r="H46" s="10"/>
      <c r="I46" s="9">
        <f>$F46*0.5%</f>
        <v>0</v>
      </c>
      <c r="K46">
        <f t="shared" si="2"/>
        <v>0</v>
      </c>
    </row>
    <row r="47" spans="1:11" x14ac:dyDescent="0.2">
      <c r="A47" s="1"/>
      <c r="B47" s="2"/>
      <c r="C47" s="2"/>
      <c r="D47" s="4"/>
      <c r="E47" s="2"/>
      <c r="F47" s="2"/>
      <c r="G47" s="4"/>
      <c r="H47" s="10"/>
      <c r="I47" s="9"/>
    </row>
    <row r="48" spans="1:11" x14ac:dyDescent="0.2">
      <c r="A48" s="3"/>
      <c r="B48" s="2"/>
      <c r="C48" s="2">
        <f>SUM(C7:C46)</f>
        <v>114.5753241975</v>
      </c>
      <c r="D48" s="4">
        <f>SUM(D7:D46)</f>
        <v>1680630</v>
      </c>
      <c r="E48" s="2"/>
      <c r="F48" s="2">
        <f t="shared" ref="F48:K48" si="6">SUM(F7:F46)</f>
        <v>5788.06</v>
      </c>
      <c r="G48" s="4">
        <f t="shared" si="6"/>
        <v>1742005</v>
      </c>
      <c r="H48" s="10">
        <f t="shared" si="6"/>
        <v>5644.5443758024994</v>
      </c>
      <c r="I48" s="9">
        <f t="shared" si="6"/>
        <v>28.940300000000001</v>
      </c>
      <c r="J48">
        <f t="shared" si="6"/>
        <v>0</v>
      </c>
      <c r="K48">
        <f t="shared" si="6"/>
        <v>5644.5443758024994</v>
      </c>
    </row>
    <row r="49" spans="1:11" x14ac:dyDescent="0.2">
      <c r="A49" s="3"/>
      <c r="B49" s="2"/>
      <c r="C49" s="2"/>
      <c r="D49" s="4"/>
      <c r="E49" s="2"/>
      <c r="F49" s="2"/>
      <c r="G49" s="4"/>
      <c r="H49" s="10"/>
      <c r="I49" s="9"/>
    </row>
    <row r="50" spans="1:11" x14ac:dyDescent="0.2">
      <c r="A50" s="3"/>
      <c r="B50" s="2"/>
      <c r="C50" s="2"/>
      <c r="D50" s="4"/>
      <c r="E50" s="4"/>
      <c r="F50" s="2"/>
      <c r="G50" s="4"/>
      <c r="H50" s="3"/>
      <c r="I50" s="3"/>
    </row>
    <row r="51" spans="1:11" x14ac:dyDescent="0.2">
      <c r="A51" s="3"/>
      <c r="B51" s="2"/>
      <c r="C51" s="2"/>
      <c r="D51" s="4"/>
      <c r="E51" s="4"/>
      <c r="F51" s="2"/>
      <c r="G51" s="4"/>
      <c r="H51" s="3"/>
      <c r="I51" s="3"/>
    </row>
    <row r="52" spans="1:11" x14ac:dyDescent="0.2">
      <c r="A52" s="3"/>
      <c r="B52" s="3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">
      <c r="H53" s="2"/>
    </row>
    <row r="55" spans="1:11" x14ac:dyDescent="0.2">
      <c r="H55" s="6"/>
      <c r="I55" s="7"/>
    </row>
    <row r="56" spans="1:11" x14ac:dyDescent="0.2">
      <c r="B56" t="s">
        <v>9</v>
      </c>
    </row>
    <row r="58" spans="1:11" x14ac:dyDescent="0.2">
      <c r="A58" s="1" t="s">
        <v>0</v>
      </c>
      <c r="B58" s="1" t="s">
        <v>1</v>
      </c>
      <c r="C58" s="1" t="s">
        <v>2</v>
      </c>
      <c r="D58" s="1" t="s">
        <v>7</v>
      </c>
      <c r="E58" s="1"/>
      <c r="F58" s="1" t="s">
        <v>3</v>
      </c>
      <c r="G58" s="1" t="s">
        <v>8</v>
      </c>
      <c r="H58" s="1" t="s">
        <v>4</v>
      </c>
      <c r="I58" s="1" t="s">
        <v>5</v>
      </c>
      <c r="K58" s="1" t="s">
        <v>4</v>
      </c>
    </row>
    <row r="60" spans="1:11" x14ac:dyDescent="0.2">
      <c r="A60" s="1"/>
      <c r="B60" s="2"/>
      <c r="C60" s="2"/>
      <c r="D60" s="4"/>
      <c r="E60" s="4"/>
      <c r="F60" s="2"/>
      <c r="G60" s="4"/>
      <c r="H60" s="3"/>
      <c r="I60" s="2"/>
      <c r="K60">
        <f>+F60-I60-C60</f>
        <v>0</v>
      </c>
    </row>
    <row r="61" spans="1:11" x14ac:dyDescent="0.2">
      <c r="A61" s="1"/>
      <c r="B61" s="2"/>
      <c r="C61" s="2"/>
      <c r="D61" s="4"/>
      <c r="E61" s="4"/>
      <c r="F61" s="2"/>
      <c r="G61" s="4"/>
      <c r="H61" s="3"/>
      <c r="I61" s="2"/>
      <c r="K61">
        <f>+F61-I61-C61</f>
        <v>0</v>
      </c>
    </row>
    <row r="63" spans="1:11" x14ac:dyDescent="0.2">
      <c r="K63">
        <f>SUM(K60:K62)</f>
        <v>0</v>
      </c>
    </row>
    <row r="64" spans="1:11" x14ac:dyDescent="0.2">
      <c r="C64">
        <f>SUM(C60:C63)</f>
        <v>0</v>
      </c>
      <c r="F64">
        <f t="shared" ref="F64:I64" si="7">SUM(F60:F63)</f>
        <v>0</v>
      </c>
      <c r="G64">
        <f t="shared" si="7"/>
        <v>0</v>
      </c>
      <c r="H64">
        <f t="shared" si="7"/>
        <v>0</v>
      </c>
      <c r="I64">
        <f t="shared" si="7"/>
        <v>0</v>
      </c>
    </row>
    <row r="66" spans="9:11" x14ac:dyDescent="0.2">
      <c r="I66" t="s">
        <v>10</v>
      </c>
      <c r="K66">
        <f>+K49+K63</f>
        <v>0</v>
      </c>
    </row>
  </sheetData>
  <sortState xmlns:xlrd2="http://schemas.microsoft.com/office/spreadsheetml/2017/richdata2" ref="A7:I46">
    <sortCondition ref="G7:G4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Shaw</dc:creator>
  <cp:lastModifiedBy>Matthew Simon</cp:lastModifiedBy>
  <dcterms:created xsi:type="dcterms:W3CDTF">2022-09-07T21:17:26Z</dcterms:created>
  <dcterms:modified xsi:type="dcterms:W3CDTF">2023-06-28T14:36:26Z</dcterms:modified>
</cp:coreProperties>
</file>